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00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<sst xmlns="http://schemas.openxmlformats.org/spreadsheetml/2006/main" count="45" uniqueCount="23">
  <si>
    <t>开门红特惠（仅限3月31日前签约）</t>
  </si>
  <si>
    <t>序号</t>
  </si>
  <si>
    <t>单元号</t>
  </si>
  <si>
    <t>面积（㎡）</t>
  </si>
  <si>
    <t>单价（元/㎡）</t>
  </si>
  <si>
    <t>开门红特惠</t>
  </si>
  <si>
    <t>单价参考</t>
  </si>
  <si>
    <t>备注</t>
  </si>
  <si>
    <t>稀缺南向小面积</t>
  </si>
  <si>
    <t>双边采光 2+1</t>
  </si>
  <si>
    <t>方正好用大通间</t>
  </si>
  <si>
    <t>807-1</t>
  </si>
  <si>
    <t>双边采光</t>
  </si>
  <si>
    <t>方正户型 1+1</t>
  </si>
  <si>
    <t>双边采光 1+1</t>
  </si>
  <si>
    <t>稀缺北向小面积</t>
  </si>
  <si>
    <t>13A02</t>
  </si>
  <si>
    <t>13A15</t>
  </si>
  <si>
    <t>1605+1606</t>
  </si>
  <si>
    <t>带装修 4+1</t>
  </si>
  <si>
    <t>1609-2</t>
  </si>
  <si>
    <t>双边采光赠阳台</t>
  </si>
  <si>
    <t>高层北向小面积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</si>
</sst>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&quot;㎡&quot;"/>
    <numFmt numFmtId="177" formatCode="&quot;￥&quot;#,##0.00_);[Red]\(&quot;￥&quot;#,##0.00\)"/>
  </numFmts>
  <fonts count="22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4">
      <alignment vertical="center"/>
    </xf>
    <xf numFmtId="0" fontId="9" fillId="0" borderId="4">
      <alignment vertical="center"/>
    </xf>
    <xf numFmtId="0" fontId="10" fillId="0" borderId="5">
      <alignment vertical="center"/>
    </xf>
    <xf numFmtId="0" fontId="10" fillId="0" borderId="0">
      <alignment vertical="center"/>
    </xf>
    <xf numFmtId="0" fontId="11" fillId="3" borderId="6">
      <alignment vertical="center"/>
    </xf>
    <xf numFmtId="0" fontId="12" fillId="4" borderId="7">
      <alignment vertical="center"/>
    </xf>
    <xf numFmtId="0" fontId="13" fillId="4" borderId="6">
      <alignment vertical="center"/>
    </xf>
    <xf numFmtId="0" fontId="14" fillId="5" borderId="8">
      <alignment vertical="center"/>
    </xf>
    <xf numFmtId="0" fontId="15" fillId="0" borderId="9">
      <alignment vertical="center"/>
    </xf>
    <xf numFmtId="0" fontId="16" fillId="0" borderId="10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6">
    <xf numFmtId="0" fontId="0" fillId="0" borderId="0" xfId="0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76" fontId="2" fillId="0" borderId="1" xfId="0" applyNumberFormat="1" applyFont="1" applyFill="1" applyBorder="1" applyAlignment="1">
      <alignment horizontal="center" vertical="center"/>
    </xf>
    <xf numFmtId="177" fontId="2" fillId="0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tabSelected="1" topLeftCell="A9" workbookViewId="0">
      <selection activeCell="A17" sqref="A17"/>
    </sheetView>
  </sheetViews>
  <sheetFormatPr defaultColWidth="9" defaultRowHeight="14" outlineLevelCol="6"/>
  <cols>
    <col min="2" max="2" width="13" customWidth="1"/>
    <col min="5" max="5" width="14" customWidth="1"/>
    <col min="7" max="7" width="16.4545454545455" customWidth="1"/>
  </cols>
  <sheetData>
    <row r="1" ht="16.5" spans="1:7">
      <c r="A1" s="1" t="s">
        <v>0</v>
      </c>
      <c r="B1" s="1"/>
      <c r="C1" s="1"/>
      <c r="D1" s="1"/>
      <c r="E1" s="1"/>
      <c r="F1" s="1"/>
      <c r="G1" s="1"/>
    </row>
    <row r="2" ht="16.5" spans="1: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ht="16.5" spans="1:7">
      <c r="A3" s="3">
        <v>1</v>
      </c>
      <c r="B3" s="3">
        <v>504</v>
      </c>
      <c r="C3" s="4">
        <v>123</v>
      </c>
      <c r="D3" s="5">
        <v>58</v>
      </c>
      <c r="E3" s="5">
        <v>7000</v>
      </c>
      <c r="F3" s="5">
        <f t="shared" ref="F3:F34" si="0">E3/C3</f>
        <v>56.9105691056911</v>
      </c>
      <c r="G3" s="3" t="s">
        <v>8</v>
      </c>
    </row>
    <row r="4" ht="16.5" spans="1:7">
      <c r="A4" s="3">
        <v>2</v>
      </c>
      <c r="B4" s="3">
        <v>510</v>
      </c>
      <c r="C4" s="4">
        <v>201</v>
      </c>
      <c r="D4" s="5">
        <v>55</v>
      </c>
      <c r="E4" s="5">
        <v>10800</v>
      </c>
      <c r="F4" s="5">
        <f t="shared" si="0"/>
        <v>53.7313432835821</v>
      </c>
      <c r="G4" s="3" t="s">
        <v>9</v>
      </c>
    </row>
    <row r="5" ht="16.5" spans="1:7">
      <c r="A5" s="3">
        <v>3</v>
      </c>
      <c r="B5" s="3">
        <v>602</v>
      </c>
      <c r="C5" s="4">
        <v>177</v>
      </c>
      <c r="D5" s="5">
        <v>55</v>
      </c>
      <c r="E5" s="5">
        <v>9500</v>
      </c>
      <c r="F5" s="5">
        <f t="shared" si="0"/>
        <v>53.6723163841808</v>
      </c>
      <c r="G5" s="3" t="s">
        <v>9</v>
      </c>
    </row>
    <row r="6" ht="16.5" spans="1:7">
      <c r="A6" s="3">
        <v>4</v>
      </c>
      <c r="B6" s="3">
        <v>615</v>
      </c>
      <c r="C6" s="4">
        <v>178</v>
      </c>
      <c r="D6" s="5">
        <v>55</v>
      </c>
      <c r="E6" s="5">
        <v>9500</v>
      </c>
      <c r="F6" s="5">
        <f t="shared" si="0"/>
        <v>53.3707865168539</v>
      </c>
      <c r="G6" s="3" t="s">
        <v>9</v>
      </c>
    </row>
    <row r="7" ht="16.5" spans="1:7">
      <c r="A7" s="3">
        <v>5</v>
      </c>
      <c r="B7" s="3">
        <v>806</v>
      </c>
      <c r="C7" s="4">
        <v>215</v>
      </c>
      <c r="D7" s="5">
        <v>58</v>
      </c>
      <c r="E7" s="5">
        <v>12000</v>
      </c>
      <c r="F7" s="5">
        <f t="shared" si="0"/>
        <v>55.8139534883721</v>
      </c>
      <c r="G7" s="3" t="s">
        <v>10</v>
      </c>
    </row>
    <row r="8" ht="16.5" spans="1:7">
      <c r="A8" s="3">
        <v>6</v>
      </c>
      <c r="B8" s="3" t="s">
        <v>11</v>
      </c>
      <c r="C8" s="4">
        <v>176</v>
      </c>
      <c r="D8" s="5">
        <v>55</v>
      </c>
      <c r="E8" s="5">
        <v>9200</v>
      </c>
      <c r="F8" s="5">
        <f t="shared" si="0"/>
        <v>52.2727272727273</v>
      </c>
      <c r="G8" s="3" t="s">
        <v>12</v>
      </c>
    </row>
    <row r="9" ht="16.5" spans="1:7">
      <c r="A9" s="3">
        <v>7</v>
      </c>
      <c r="B9" s="3">
        <v>1003</v>
      </c>
      <c r="C9" s="4">
        <v>222</v>
      </c>
      <c r="D9" s="5">
        <v>55</v>
      </c>
      <c r="E9" s="5">
        <v>11800</v>
      </c>
      <c r="F9" s="5">
        <f t="shared" si="0"/>
        <v>53.1531531531532</v>
      </c>
      <c r="G9" s="3" t="s">
        <v>9</v>
      </c>
    </row>
    <row r="10" ht="16.5" spans="1:7">
      <c r="A10" s="3">
        <v>8</v>
      </c>
      <c r="B10" s="3">
        <v>1006</v>
      </c>
      <c r="C10" s="4">
        <v>246</v>
      </c>
      <c r="D10" s="5">
        <v>58</v>
      </c>
      <c r="E10" s="5">
        <v>13500</v>
      </c>
      <c r="F10" s="5">
        <f t="shared" si="0"/>
        <v>54.8780487804878</v>
      </c>
      <c r="G10" s="3" t="s">
        <v>13</v>
      </c>
    </row>
    <row r="11" ht="16.5" spans="1:7">
      <c r="A11" s="3">
        <v>9</v>
      </c>
      <c r="B11" s="3">
        <v>1010</v>
      </c>
      <c r="C11" s="4">
        <v>228</v>
      </c>
      <c r="D11" s="5">
        <v>55</v>
      </c>
      <c r="E11" s="5">
        <v>12200</v>
      </c>
      <c r="F11" s="5">
        <f t="shared" si="0"/>
        <v>53.5087719298246</v>
      </c>
      <c r="G11" s="3" t="s">
        <v>14</v>
      </c>
    </row>
    <row r="12" ht="16.5" spans="1:7">
      <c r="A12" s="3">
        <v>10</v>
      </c>
      <c r="B12" s="3">
        <v>1207</v>
      </c>
      <c r="C12" s="4">
        <v>192</v>
      </c>
      <c r="D12" s="5">
        <v>56</v>
      </c>
      <c r="E12" s="5">
        <v>10200</v>
      </c>
      <c r="F12" s="5">
        <f t="shared" si="0"/>
        <v>53.125</v>
      </c>
      <c r="G12" s="3" t="s">
        <v>9</v>
      </c>
    </row>
    <row r="13" ht="16.5" spans="1:7">
      <c r="A13" s="3">
        <v>11</v>
      </c>
      <c r="B13" s="3">
        <v>1212</v>
      </c>
      <c r="C13" s="4">
        <v>98</v>
      </c>
      <c r="D13" s="5">
        <v>60</v>
      </c>
      <c r="E13" s="5">
        <v>5800</v>
      </c>
      <c r="F13" s="5">
        <f t="shared" si="0"/>
        <v>59.1836734693878</v>
      </c>
      <c r="G13" s="3" t="s">
        <v>15</v>
      </c>
    </row>
    <row r="14" ht="16.5" spans="1:7">
      <c r="A14" s="3">
        <v>12</v>
      </c>
      <c r="B14" s="3">
        <v>1213</v>
      </c>
      <c r="C14" s="4">
        <v>167</v>
      </c>
      <c r="D14" s="5">
        <v>56</v>
      </c>
      <c r="E14" s="5">
        <v>9000</v>
      </c>
      <c r="F14" s="5">
        <f t="shared" si="0"/>
        <v>53.8922155688623</v>
      </c>
      <c r="G14" s="3" t="s">
        <v>9</v>
      </c>
    </row>
    <row r="15" ht="16.5" spans="1:7">
      <c r="A15" s="3">
        <v>13</v>
      </c>
      <c r="B15" s="3" t="s">
        <v>16</v>
      </c>
      <c r="C15" s="4">
        <v>177</v>
      </c>
      <c r="D15" s="5">
        <v>56</v>
      </c>
      <c r="E15" s="5">
        <v>9500</v>
      </c>
      <c r="F15" s="5">
        <f t="shared" si="0"/>
        <v>53.6723163841808</v>
      </c>
      <c r="G15" s="3" t="s">
        <v>9</v>
      </c>
    </row>
    <row r="16" ht="16.5" spans="1:7">
      <c r="A16" s="3">
        <v>14</v>
      </c>
      <c r="B16" s="3" t="s">
        <v>17</v>
      </c>
      <c r="C16" s="4">
        <v>178</v>
      </c>
      <c r="D16" s="5">
        <v>56</v>
      </c>
      <c r="E16" s="5">
        <v>9500</v>
      </c>
      <c r="F16" s="5">
        <f t="shared" si="0"/>
        <v>53.3707865168539</v>
      </c>
      <c r="G16" s="3" t="s">
        <v>9</v>
      </c>
    </row>
    <row r="17" ht="16.5" spans="1:7">
      <c r="A17" s="3">
        <v>15</v>
      </c>
      <c r="B17" s="3" t="s">
        <v>18</v>
      </c>
      <c r="C17" s="4">
        <v>386</v>
      </c>
      <c r="D17" s="5">
        <v>56</v>
      </c>
      <c r="E17" s="5">
        <v>20800</v>
      </c>
      <c r="F17" s="5">
        <f t="shared" si="0"/>
        <v>53.8860103626943</v>
      </c>
      <c r="G17" s="3" t="s">
        <v>19</v>
      </c>
    </row>
    <row r="18" ht="16.5" spans="1:7">
      <c r="A18" s="3">
        <v>16</v>
      </c>
      <c r="B18" s="3" t="s">
        <v>20</v>
      </c>
      <c r="C18" s="4">
        <v>168</v>
      </c>
      <c r="D18" s="5">
        <v>56</v>
      </c>
      <c r="E18" s="5">
        <v>9000</v>
      </c>
      <c r="F18" s="5">
        <f t="shared" si="0"/>
        <v>53.5714285714286</v>
      </c>
      <c r="G18" s="3" t="s">
        <v>12</v>
      </c>
    </row>
    <row r="19" ht="16.5" spans="1:7">
      <c r="A19" s="3">
        <v>17</v>
      </c>
      <c r="B19" s="3">
        <v>1702</v>
      </c>
      <c r="C19" s="4">
        <v>263</v>
      </c>
      <c r="D19" s="5">
        <v>57</v>
      </c>
      <c r="E19" s="5">
        <v>13800</v>
      </c>
      <c r="F19" s="5">
        <f t="shared" si="0"/>
        <v>52.4714828897338</v>
      </c>
      <c r="G19" s="3" t="s">
        <v>12</v>
      </c>
    </row>
    <row r="20" ht="16.5" spans="1:7">
      <c r="A20" s="3">
        <v>18</v>
      </c>
      <c r="B20" s="3">
        <v>1802</v>
      </c>
      <c r="C20" s="4">
        <v>177</v>
      </c>
      <c r="D20" s="5">
        <v>57</v>
      </c>
      <c r="E20" s="5">
        <v>9600</v>
      </c>
      <c r="F20" s="5">
        <f t="shared" si="0"/>
        <v>54.2372881355932</v>
      </c>
      <c r="G20" s="3" t="s">
        <v>9</v>
      </c>
    </row>
    <row r="21" ht="16.5" spans="1:7">
      <c r="A21" s="3">
        <v>19</v>
      </c>
      <c r="B21" s="3">
        <v>1809</v>
      </c>
      <c r="C21" s="4">
        <v>201</v>
      </c>
      <c r="D21" s="5">
        <v>58</v>
      </c>
      <c r="E21" s="5">
        <v>11000</v>
      </c>
      <c r="F21" s="5">
        <f t="shared" si="0"/>
        <v>54.726368159204</v>
      </c>
      <c r="G21" s="3" t="s">
        <v>10</v>
      </c>
    </row>
    <row r="22" ht="16.5" spans="1:7">
      <c r="A22" s="3">
        <v>20</v>
      </c>
      <c r="B22" s="3">
        <v>1810</v>
      </c>
      <c r="C22" s="4">
        <v>201</v>
      </c>
      <c r="D22" s="5">
        <v>57</v>
      </c>
      <c r="E22" s="5">
        <v>11000</v>
      </c>
      <c r="F22" s="5">
        <f t="shared" si="0"/>
        <v>54.726368159204</v>
      </c>
      <c r="G22" s="3" t="s">
        <v>9</v>
      </c>
    </row>
    <row r="23" ht="16.5" spans="1:7">
      <c r="A23" s="3">
        <v>21</v>
      </c>
      <c r="B23" s="3">
        <v>1815</v>
      </c>
      <c r="C23" s="4">
        <v>178</v>
      </c>
      <c r="D23" s="5">
        <v>57</v>
      </c>
      <c r="E23" s="5">
        <v>9600</v>
      </c>
      <c r="F23" s="5">
        <f t="shared" si="0"/>
        <v>53.9325842696629</v>
      </c>
      <c r="G23" s="3" t="s">
        <v>9</v>
      </c>
    </row>
    <row r="24" ht="16.5" spans="1:7">
      <c r="A24" s="3">
        <v>22</v>
      </c>
      <c r="B24" s="3">
        <v>1902</v>
      </c>
      <c r="C24" s="4">
        <v>153</v>
      </c>
      <c r="D24" s="5">
        <v>62</v>
      </c>
      <c r="E24" s="5">
        <v>8800</v>
      </c>
      <c r="F24" s="5">
        <f t="shared" si="0"/>
        <v>57.516339869281</v>
      </c>
      <c r="G24" s="3" t="s">
        <v>21</v>
      </c>
    </row>
    <row r="25" ht="16.5" spans="1:7">
      <c r="A25" s="3">
        <v>23</v>
      </c>
      <c r="B25" s="3">
        <v>1904</v>
      </c>
      <c r="C25" s="4">
        <v>124</v>
      </c>
      <c r="D25" s="5">
        <v>62</v>
      </c>
      <c r="E25" s="5">
        <v>7200</v>
      </c>
      <c r="F25" s="5">
        <f t="shared" si="0"/>
        <v>58.0645161290323</v>
      </c>
      <c r="G25" s="3" t="s">
        <v>8</v>
      </c>
    </row>
    <row r="26" ht="16.5" spans="1:7">
      <c r="A26" s="3">
        <v>24</v>
      </c>
      <c r="B26" s="3">
        <v>1907</v>
      </c>
      <c r="C26" s="4">
        <v>179</v>
      </c>
      <c r="D26" s="5">
        <v>62</v>
      </c>
      <c r="E26" s="5">
        <v>10500</v>
      </c>
      <c r="F26" s="5">
        <f t="shared" si="0"/>
        <v>58.659217877095</v>
      </c>
      <c r="G26" s="3" t="s">
        <v>21</v>
      </c>
    </row>
    <row r="27" ht="16.5" spans="1:7">
      <c r="A27" s="3">
        <v>25</v>
      </c>
      <c r="B27" s="3">
        <v>1916</v>
      </c>
      <c r="C27" s="4">
        <v>218</v>
      </c>
      <c r="D27" s="5">
        <v>60</v>
      </c>
      <c r="E27" s="5">
        <v>12500</v>
      </c>
      <c r="F27" s="5">
        <f t="shared" si="0"/>
        <v>57.3394495412844</v>
      </c>
      <c r="G27" s="3" t="s">
        <v>10</v>
      </c>
    </row>
    <row r="28" ht="16.5" spans="1:7">
      <c r="A28" s="3">
        <v>26</v>
      </c>
      <c r="B28" s="3">
        <v>2002</v>
      </c>
      <c r="C28" s="4">
        <v>157</v>
      </c>
      <c r="D28" s="5">
        <v>60</v>
      </c>
      <c r="E28" s="5">
        <v>9000</v>
      </c>
      <c r="F28" s="5">
        <f t="shared" si="0"/>
        <v>57.3248407643312</v>
      </c>
      <c r="G28" s="3" t="s">
        <v>12</v>
      </c>
    </row>
    <row r="29" ht="16.5" spans="1:7">
      <c r="A29" s="3">
        <v>27</v>
      </c>
      <c r="B29" s="3">
        <v>2007</v>
      </c>
      <c r="C29" s="4">
        <v>185</v>
      </c>
      <c r="D29" s="5">
        <v>60</v>
      </c>
      <c r="E29" s="5">
        <v>10500</v>
      </c>
      <c r="F29" s="5">
        <f t="shared" si="0"/>
        <v>56.7567567567568</v>
      </c>
      <c r="G29" s="3" t="s">
        <v>12</v>
      </c>
    </row>
    <row r="30" ht="16.5" spans="1:7">
      <c r="A30" s="3">
        <v>28</v>
      </c>
      <c r="B30" s="3">
        <v>2008</v>
      </c>
      <c r="C30" s="4">
        <v>186</v>
      </c>
      <c r="D30" s="5">
        <v>62</v>
      </c>
      <c r="E30" s="5">
        <v>10800</v>
      </c>
      <c r="F30" s="5">
        <f t="shared" si="0"/>
        <v>58.0645161290323</v>
      </c>
      <c r="G30" s="3" t="s">
        <v>10</v>
      </c>
    </row>
    <row r="31" ht="16.5" spans="1:7">
      <c r="A31" s="3">
        <v>29</v>
      </c>
      <c r="B31" s="3">
        <v>2009</v>
      </c>
      <c r="C31" s="4">
        <v>201</v>
      </c>
      <c r="D31" s="5">
        <v>62</v>
      </c>
      <c r="E31" s="5">
        <v>11800</v>
      </c>
      <c r="F31" s="5">
        <f t="shared" si="0"/>
        <v>58.7064676616915</v>
      </c>
      <c r="G31" s="3" t="s">
        <v>10</v>
      </c>
    </row>
    <row r="32" ht="16.5" spans="1:7">
      <c r="A32" s="3">
        <v>30</v>
      </c>
      <c r="B32" s="3">
        <v>2012</v>
      </c>
      <c r="C32" s="4">
        <v>121</v>
      </c>
      <c r="D32" s="5">
        <v>63</v>
      </c>
      <c r="E32" s="5">
        <v>7300</v>
      </c>
      <c r="F32" s="5">
        <f t="shared" si="0"/>
        <v>60.3305785123967</v>
      </c>
      <c r="G32" s="3" t="s">
        <v>22</v>
      </c>
    </row>
    <row r="33" ht="16.5" spans="1:7">
      <c r="A33" s="3">
        <v>31</v>
      </c>
      <c r="B33" s="3">
        <v>2013</v>
      </c>
      <c r="C33" s="4">
        <v>120</v>
      </c>
      <c r="D33" s="5">
        <v>63</v>
      </c>
      <c r="E33" s="5">
        <v>7300</v>
      </c>
      <c r="F33" s="5">
        <f t="shared" si="0"/>
        <v>60.8333333333333</v>
      </c>
      <c r="G33" s="3" t="s">
        <v>22</v>
      </c>
    </row>
    <row r="34" ht="16.5" spans="1:7">
      <c r="A34" s="3">
        <v>32</v>
      </c>
      <c r="B34" s="3">
        <v>2015</v>
      </c>
      <c r="C34" s="4">
        <v>160</v>
      </c>
      <c r="D34" s="5">
        <v>60</v>
      </c>
      <c r="E34" s="5">
        <v>9200</v>
      </c>
      <c r="F34" s="5">
        <f t="shared" si="0"/>
        <v>57.5</v>
      </c>
      <c r="G34" s="3" t="s">
        <v>12</v>
      </c>
    </row>
  </sheetData>
  <mergeCells count="1">
    <mergeCell ref="A1:G1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 may</dc:creator>
  <cp:lastModifiedBy>may i.e.</cp:lastModifiedBy>
  <dcterms:created xsi:type="dcterms:W3CDTF">2023-05-12T11:15:00Z</dcterms:created>
  <dcterms:modified xsi:type="dcterms:W3CDTF">2026-03-24T02:05:43Z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FFF717A05F8A40708948329FC3C39223_12</vt:lpwstr>
  </property>
  <property fmtid="{D5CDD505-2E9C-101B-9397-08002B2CF9AE}" pid="4" name="CalculationRule">
    <vt:i4>0</vt:i4>
  </property>
</Properties>
</file>