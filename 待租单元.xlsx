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㎡&quot;"/>
    <numFmt numFmtId="165" formatCode="&quot;￥&quot;#,##0.00_);[Red]\(&quot;￥&quot;#,##0.00\)"/>
  </numFmts>
  <fonts count="22">
    <font>
      <name val="宋体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topLeftCell="A9" workbookViewId="0">
      <selection activeCell="A17" sqref="A17"/>
    </sheetView>
  </sheetViews>
  <sheetFormatPr baseColWidth="8" defaultColWidth="9" defaultRowHeight="14"/>
  <cols>
    <col width="13" customWidth="1" style="6" min="2" max="2"/>
    <col width="14" customWidth="1" style="6" min="5" max="5"/>
    <col width="16.4545454545455" customWidth="1" style="6" min="7" max="7"/>
  </cols>
  <sheetData>
    <row r="1" ht="16.5" customHeight="1" s="6">
      <c r="A1" s="1" t="inlineStr">
        <is>
          <t>开门红特惠（仅限3月31日前签约）</t>
        </is>
      </c>
      <c r="B1" s="7" t="n"/>
      <c r="C1" s="7" t="n"/>
      <c r="D1" s="7" t="n"/>
      <c r="E1" s="7" t="n"/>
      <c r="F1" s="7" t="n"/>
      <c r="G1" s="8" t="n"/>
    </row>
    <row r="2" ht="16.5" customHeight="1" s="6">
      <c r="A2" s="2" t="inlineStr">
        <is>
          <t>序号</t>
        </is>
      </c>
      <c r="B2" s="2" t="inlineStr">
        <is>
          <t>单元号</t>
        </is>
      </c>
      <c r="C2" s="2" t="inlineStr">
        <is>
          <t>面积（㎡）</t>
        </is>
      </c>
      <c r="D2" s="2" t="inlineStr">
        <is>
          <t>单价（元/㎡）</t>
        </is>
      </c>
      <c r="E2" s="2" t="inlineStr">
        <is>
          <t>开门红特惠</t>
        </is>
      </c>
      <c r="F2" s="2" t="inlineStr">
        <is>
          <t>单价参考</t>
        </is>
      </c>
      <c r="G2" s="2" t="inlineStr">
        <is>
          <t>备注</t>
        </is>
      </c>
    </row>
    <row r="3" ht="16.5" customHeight="1" s="6">
      <c r="A3" s="3" t="n">
        <v>1</v>
      </c>
      <c r="B3" s="3" t="n">
        <v>510</v>
      </c>
      <c r="C3" s="9" t="n">
        <v>201</v>
      </c>
      <c r="D3" s="10" t="n">
        <v>55</v>
      </c>
      <c r="E3" s="10" t="n">
        <v>10800</v>
      </c>
      <c r="F3" s="10">
        <f>E4/C4</f>
        <v/>
      </c>
      <c r="G3" s="3" t="inlineStr">
        <is>
          <t>双边采光 2+1</t>
        </is>
      </c>
    </row>
    <row r="4" ht="16.5" customHeight="1" s="6">
      <c r="A4" s="3" t="n">
        <v>2</v>
      </c>
      <c r="B4" s="3" t="n">
        <v>602</v>
      </c>
      <c r="C4" s="9" t="n">
        <v>177</v>
      </c>
      <c r="D4" s="10" t="n">
        <v>55</v>
      </c>
      <c r="E4" s="10" t="n">
        <v>9500</v>
      </c>
      <c r="F4" s="10">
        <f>E5/C5</f>
        <v/>
      </c>
      <c r="G4" s="3" t="inlineStr">
        <is>
          <t>双边采光 2+1</t>
        </is>
      </c>
    </row>
    <row r="5" ht="16.5" customHeight="1" s="6">
      <c r="A5" s="3" t="n">
        <v>3</v>
      </c>
      <c r="B5" s="3" t="n">
        <v>615</v>
      </c>
      <c r="C5" s="9" t="n">
        <v>178</v>
      </c>
      <c r="D5" s="10" t="n">
        <v>55</v>
      </c>
      <c r="E5" s="10" t="n">
        <v>9500</v>
      </c>
      <c r="F5" s="10">
        <f>E6/C6</f>
        <v/>
      </c>
      <c r="G5" s="3" t="inlineStr">
        <is>
          <t>双边采光 2+1</t>
        </is>
      </c>
    </row>
    <row r="6" ht="16.5" customHeight="1" s="6">
      <c r="A6" s="3" t="n">
        <v>4</v>
      </c>
      <c r="B6" s="3" t="n">
        <v>806</v>
      </c>
      <c r="C6" s="9" t="n">
        <v>215</v>
      </c>
      <c r="D6" s="10" t="n">
        <v>58</v>
      </c>
      <c r="E6" s="10" t="n">
        <v>12000</v>
      </c>
      <c r="F6" s="10">
        <f>E7/C7</f>
        <v/>
      </c>
      <c r="G6" s="3" t="inlineStr">
        <is>
          <t>方正好用大通间</t>
        </is>
      </c>
    </row>
    <row r="7" ht="16.5" customHeight="1" s="6">
      <c r="A7" s="3" t="n">
        <v>5</v>
      </c>
      <c r="B7" s="3" t="inlineStr">
        <is>
          <t>807-1</t>
        </is>
      </c>
      <c r="C7" s="9" t="n">
        <v>176</v>
      </c>
      <c r="D7" s="10" t="n">
        <v>55</v>
      </c>
      <c r="E7" s="10" t="n">
        <v>9200</v>
      </c>
      <c r="F7" s="10">
        <f>E8/C8</f>
        <v/>
      </c>
      <c r="G7" s="3" t="inlineStr">
        <is>
          <t>双边采光</t>
        </is>
      </c>
    </row>
    <row r="8" ht="16.5" customHeight="1" s="6">
      <c r="A8" s="3" t="n">
        <v>6</v>
      </c>
      <c r="B8" s="3" t="n">
        <v>1003</v>
      </c>
      <c r="C8" s="9" t="n">
        <v>222</v>
      </c>
      <c r="D8" s="10" t="n">
        <v>55</v>
      </c>
      <c r="E8" s="10" t="n">
        <v>11800</v>
      </c>
      <c r="F8" s="10">
        <f>E9/C9</f>
        <v/>
      </c>
      <c r="G8" s="3" t="inlineStr">
        <is>
          <t>双边采光 2+1</t>
        </is>
      </c>
    </row>
    <row r="9" ht="16.5" customHeight="1" s="6">
      <c r="A9" s="3" t="n">
        <v>8</v>
      </c>
      <c r="B9" s="3" t="n">
        <v>1010</v>
      </c>
      <c r="C9" s="9" t="n">
        <v>228</v>
      </c>
      <c r="D9" s="10" t="n">
        <v>55</v>
      </c>
      <c r="E9" s="10" t="n">
        <v>12200</v>
      </c>
      <c r="F9" s="10">
        <f>E11/C11</f>
        <v/>
      </c>
      <c r="G9" s="3" t="inlineStr">
        <is>
          <t>双边采光 1+1</t>
        </is>
      </c>
    </row>
    <row r="10" ht="16.5" customHeight="1" s="6">
      <c r="A10" s="3" t="n">
        <v>9</v>
      </c>
      <c r="B10" s="3" t="n">
        <v>1207</v>
      </c>
      <c r="C10" s="9" t="n">
        <v>192</v>
      </c>
      <c r="D10" s="10" t="n">
        <v>56</v>
      </c>
      <c r="E10" s="10" t="n">
        <v>10200</v>
      </c>
      <c r="F10" s="10">
        <f>E12/C12</f>
        <v/>
      </c>
      <c r="G10" s="3" t="inlineStr">
        <is>
          <t>双边采光 2+1</t>
        </is>
      </c>
    </row>
    <row r="11" ht="16.5" customHeight="1" s="6">
      <c r="A11" s="3" t="n">
        <v>10</v>
      </c>
      <c r="B11" s="3" t="inlineStr">
        <is>
          <t>13A02</t>
        </is>
      </c>
      <c r="C11" s="9" t="n">
        <v>177</v>
      </c>
      <c r="D11" s="10" t="n">
        <v>56</v>
      </c>
      <c r="E11" s="10" t="n">
        <v>9500</v>
      </c>
      <c r="F11" s="10">
        <f>E15/C15</f>
        <v/>
      </c>
      <c r="G11" s="3" t="inlineStr">
        <is>
          <t>双边采光 2+1</t>
        </is>
      </c>
    </row>
    <row r="12" ht="16.5" customHeight="1" s="6">
      <c r="A12" s="3" t="n">
        <v>11</v>
      </c>
      <c r="B12" s="3" t="inlineStr">
        <is>
          <t>13A15</t>
        </is>
      </c>
      <c r="C12" s="9" t="n">
        <v>178</v>
      </c>
      <c r="D12" s="10" t="n">
        <v>56</v>
      </c>
      <c r="E12" s="10" t="n">
        <v>9500</v>
      </c>
      <c r="F12" s="10">
        <f>E16/C16</f>
        <v/>
      </c>
      <c r="G12" s="3" t="inlineStr">
        <is>
          <t>双边采光 2+1</t>
        </is>
      </c>
    </row>
    <row r="13" ht="16.5" customHeight="1" s="6">
      <c r="A13" s="3" t="n">
        <v>12</v>
      </c>
      <c r="B13" s="3" t="inlineStr">
        <is>
          <t>1605+1606</t>
        </is>
      </c>
      <c r="C13" s="9" t="n">
        <v>386</v>
      </c>
      <c r="D13" s="10" t="n">
        <v>56</v>
      </c>
      <c r="E13" s="10" t="n">
        <v>20800</v>
      </c>
      <c r="F13" s="10">
        <f>E17/C17</f>
        <v/>
      </c>
      <c r="G13" s="3" t="inlineStr">
        <is>
          <t>带装修 4+1</t>
        </is>
      </c>
    </row>
    <row r="14" ht="16.5" customHeight="1" s="6">
      <c r="A14" s="3" t="n">
        <v>13</v>
      </c>
      <c r="B14" s="3" t="inlineStr">
        <is>
          <t>1609-2</t>
        </is>
      </c>
      <c r="C14" s="9" t="n">
        <v>168</v>
      </c>
      <c r="D14" s="10" t="n">
        <v>56</v>
      </c>
      <c r="E14" s="10" t="n">
        <v>9000</v>
      </c>
      <c r="F14" s="10">
        <f>E18/C18</f>
        <v/>
      </c>
      <c r="G14" s="3" t="inlineStr">
        <is>
          <t>双边采光</t>
        </is>
      </c>
    </row>
    <row r="15" ht="16.5" customHeight="1" s="6">
      <c r="A15" s="3" t="n">
        <v>14</v>
      </c>
      <c r="B15" s="3" t="n">
        <v>1702</v>
      </c>
      <c r="C15" s="9" t="n">
        <v>263</v>
      </c>
      <c r="D15" s="10" t="n">
        <v>57</v>
      </c>
      <c r="E15" s="10" t="n">
        <v>13800</v>
      </c>
      <c r="F15" s="10">
        <f>E19/C19</f>
        <v/>
      </c>
      <c r="G15" s="3" t="inlineStr">
        <is>
          <t>双边采光</t>
        </is>
      </c>
    </row>
    <row r="16" ht="16.5" customHeight="1" s="6">
      <c r="A16" s="3" t="n">
        <v>15</v>
      </c>
      <c r="B16" s="3" t="n">
        <v>1802</v>
      </c>
      <c r="C16" s="9" t="n">
        <v>177</v>
      </c>
      <c r="D16" s="10" t="n">
        <v>57</v>
      </c>
      <c r="E16" s="10" t="n">
        <v>9600</v>
      </c>
      <c r="F16" s="10">
        <f>E20/C20</f>
        <v/>
      </c>
      <c r="G16" s="3" t="inlineStr">
        <is>
          <t>双边采光 2+1</t>
        </is>
      </c>
    </row>
    <row r="17" ht="16.5" customHeight="1" s="6">
      <c r="A17" s="3" t="n">
        <v>17</v>
      </c>
      <c r="B17" s="3" t="n">
        <v>1810</v>
      </c>
      <c r="C17" s="9" t="n">
        <v>201</v>
      </c>
      <c r="D17" s="10" t="n">
        <v>57</v>
      </c>
      <c r="E17" s="10" t="n">
        <v>11000</v>
      </c>
      <c r="F17" s="10">
        <f>E22/C22</f>
        <v/>
      </c>
      <c r="G17" s="3" t="inlineStr">
        <is>
          <t>双边采光 2+1</t>
        </is>
      </c>
    </row>
    <row r="18" ht="16.5" customHeight="1" s="6">
      <c r="A18" s="3" t="n">
        <v>18</v>
      </c>
      <c r="B18" s="3" t="n">
        <v>1815</v>
      </c>
      <c r="C18" s="9" t="n">
        <v>178</v>
      </c>
      <c r="D18" s="10" t="n">
        <v>57</v>
      </c>
      <c r="E18" s="10" t="n">
        <v>9600</v>
      </c>
      <c r="F18" s="10">
        <f>E23/C23</f>
        <v/>
      </c>
      <c r="G18" s="3" t="inlineStr">
        <is>
          <t>双边采光 2+1</t>
        </is>
      </c>
    </row>
    <row r="19" ht="16.5" customHeight="1" s="6">
      <c r="A19" s="3" t="n">
        <v>19</v>
      </c>
      <c r="B19" s="3" t="n">
        <v>1907</v>
      </c>
      <c r="C19" s="9" t="n">
        <v>179</v>
      </c>
      <c r="D19" s="10" t="n">
        <v>62</v>
      </c>
      <c r="E19" s="10" t="n">
        <v>10500</v>
      </c>
      <c r="F19" s="10">
        <f>E26/C26</f>
        <v/>
      </c>
      <c r="G19" s="3" t="inlineStr">
        <is>
          <t>双边采光赠阳台</t>
        </is>
      </c>
    </row>
    <row r="20" ht="16.5" customHeight="1" s="6">
      <c r="A20" s="3" t="n">
        <v>21</v>
      </c>
      <c r="B20" s="3" t="n">
        <v>2002</v>
      </c>
      <c r="C20" s="9" t="n">
        <v>157</v>
      </c>
      <c r="D20" s="10" t="n">
        <v>60</v>
      </c>
      <c r="E20" s="10" t="n">
        <v>9000</v>
      </c>
      <c r="F20" s="10">
        <f>E28/C28</f>
        <v/>
      </c>
      <c r="G20" s="3" t="inlineStr">
        <is>
          <t>双边采光</t>
        </is>
      </c>
    </row>
    <row r="21" ht="16.5" customHeight="1" s="6">
      <c r="A21" s="3" t="n">
        <v>22</v>
      </c>
      <c r="B21" s="3" t="n">
        <v>2007</v>
      </c>
      <c r="C21" s="9" t="n">
        <v>185</v>
      </c>
      <c r="D21" s="10" t="n">
        <v>60</v>
      </c>
      <c r="E21" s="10" t="n">
        <v>10500</v>
      </c>
      <c r="F21" s="10">
        <f>E29/C29</f>
        <v/>
      </c>
      <c r="G21" s="3" t="inlineStr">
        <is>
          <t>双边采光</t>
        </is>
      </c>
    </row>
    <row r="22" ht="16.5" customHeight="1" s="6">
      <c r="A22" s="3" t="n">
        <v>25</v>
      </c>
      <c r="B22" s="3" t="n">
        <v>2015</v>
      </c>
      <c r="C22" s="9" t="n">
        <v>160</v>
      </c>
      <c r="D22" s="10" t="n">
        <v>60</v>
      </c>
      <c r="E22" s="10" t="n">
        <v>9200</v>
      </c>
      <c r="F22" s="10">
        <f>E34/C34</f>
        <v/>
      </c>
      <c r="G22" s="3" t="inlineStr">
        <is>
          <t>双边采光</t>
        </is>
      </c>
    </row>
    <row r="23" ht="16.5" customHeight="1" s="6"/>
    <row r="24" ht="16.5" customHeight="1" s="6"/>
    <row r="25" ht="16.5" customHeight="1" s="6"/>
    <row r="26" ht="16.5" customHeight="1" s="6"/>
    <row r="27" ht="16.5" customHeight="1" s="6"/>
    <row r="28" ht="16.5" customHeight="1" s="6"/>
    <row r="29" ht="16.5" customHeight="1" s="6"/>
    <row r="30" ht="16.5" customHeight="1" s="6"/>
    <row r="31" ht="16.5" customHeight="1" s="6"/>
    <row r="32" ht="16.5" customHeight="1" s="6"/>
    <row r="33" ht="16.5" customHeight="1" s="6"/>
    <row r="34" ht="16.5" customHeight="1" s="6"/>
  </sheetData>
  <mergeCells count="1">
    <mergeCell ref="A1:G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may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2026-05-08T08:06:01Z</dcterms:modified>
  <cp:lastModifiedBy>may i.e.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FFF717A05F8A40708948329FC3C39223_12</vt:lpwstr>
  </property>
  <property name="CalculationRule" fmtid="{D5CDD505-2E9C-101B-9397-08002B2CF9AE}" pid="4">
    <vt:i4 xmlns:vt="http://schemas.openxmlformats.org/officeDocument/2006/docPropsVTypes">0</vt:i4>
  </property>
</Properties>
</file>